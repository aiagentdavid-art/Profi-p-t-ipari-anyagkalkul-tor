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Összesítés" sheetId="1" r:id="rId1"/>
    <sheet name="Gipszkartonozás" sheetId="2" r:id="rId2"/>
    <sheet name="Burkolás" sheetId="3" r:id="rId3"/>
    <sheet name="Festé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I2" i="4"/>
  <c r="H2" i="4"/>
  <c r="I3" i="3"/>
  <c r="H3" i="3"/>
  <c r="I2" i="3"/>
  <c r="H2" i="3"/>
  <c r="J5" i="2"/>
  <c r="I3" i="2"/>
  <c r="H3" i="2"/>
  <c r="J2" i="2"/>
  <c r="I2" i="2"/>
  <c r="H2" i="2"/>
  <c r="J2" i="4" l="1"/>
  <c r="J5" i="4"/>
  <c r="D5" i="1" s="1"/>
  <c r="J3" i="3"/>
  <c r="J5" i="3" s="1"/>
  <c r="D4" i="1" s="1"/>
  <c r="D8" i="1" s="1"/>
  <c r="D9" i="1" s="1"/>
  <c r="J2" i="3"/>
  <c r="J3" i="2"/>
</calcChain>
</file>

<file path=xl/sharedStrings.xml><?xml version="1.0" encoding="utf-8"?>
<sst xmlns="http://schemas.openxmlformats.org/spreadsheetml/2006/main" count="35" uniqueCount="19">
  <si>
    <t>Összesítés:</t>
  </si>
  <si>
    <t>Gipszkartonozás</t>
  </si>
  <si>
    <t>Burkolás</t>
  </si>
  <si>
    <t>Festés</t>
  </si>
  <si>
    <t>Munka megnevezése</t>
  </si>
  <si>
    <t>db</t>
  </si>
  <si>
    <t>anyagár</t>
  </si>
  <si>
    <t>munkadíj</t>
  </si>
  <si>
    <t>össz anyag</t>
  </si>
  <si>
    <t>össz munka</t>
  </si>
  <si>
    <t>összesen</t>
  </si>
  <si>
    <t>2 rétegű gipszkarton válaszfal építése</t>
  </si>
  <si>
    <t>1 rétegű lmennyezet építése</t>
  </si>
  <si>
    <t>Összesen:</t>
  </si>
  <si>
    <t>Hidegburkolás 30*60-as lapokkal</t>
  </si>
  <si>
    <t>Ajzat betonozás</t>
  </si>
  <si>
    <t>Tisztasági festés 2 rétegben fehérre</t>
  </si>
  <si>
    <t>Összesen nettó</t>
  </si>
  <si>
    <t>Összesen bruttó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</si>
</sst>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,##0\ &quot;Ft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F16" sqref="F16"/>
    </sheetView>
  </sheetViews>
  <sheetFormatPr defaultRowHeight="15" x14ac:dyDescent="0.25"/>
  <cols>
    <col min="4" max="4" width="12.140625" bestFit="1" customWidth="1"/>
  </cols>
  <sheetData>
    <row r="1" spans="1:4" x14ac:dyDescent="0.25">
      <c r="A1" t="s">
        <v>0</v>
      </c>
    </row>
    <row r="3" spans="1:4" x14ac:dyDescent="0.25">
      <c r="A3" t="s">
        <v>1</v>
      </c>
      <c r="D3" s="1">
        <f>+Gipszkartonozás!J5</f>
        <v>270000</v>
      </c>
    </row>
    <row r="4" spans="1:4" x14ac:dyDescent="0.25">
      <c r="A4" t="s">
        <v>2</v>
      </c>
      <c r="D4" s="1">
        <f>+Burkolás!J5</f>
        <v>272000</v>
      </c>
    </row>
    <row r="5" spans="1:4" x14ac:dyDescent="0.25">
      <c r="A5" t="s">
        <v>3</v>
      </c>
      <c r="D5" s="1">
        <f>+Festés!J5</f>
        <v>180000</v>
      </c>
    </row>
    <row r="6" spans="1:4" x14ac:dyDescent="0.25">
      <c r="D6" s="1"/>
    </row>
    <row r="7" spans="1:4" x14ac:dyDescent="0.25">
      <c r="D7" s="1"/>
    </row>
    <row r="8" spans="1:4" x14ac:dyDescent="0.25">
      <c r="B8" t="s">
        <v>17</v>
      </c>
      <c r="D8" s="1">
        <f>+D5+D4+D3</f>
        <v>722000</v>
      </c>
    </row>
    <row r="9" spans="1:4" x14ac:dyDescent="0.25">
      <c r="B9" t="s">
        <v>18</v>
      </c>
      <c r="D9" s="1">
        <f>+D8*1.2</f>
        <v>866400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2" sqref="F2:J5"/>
    </sheetView>
  </sheetViews>
  <sheetFormatPr defaultRowHeight="15" x14ac:dyDescent="0.25"/>
  <cols>
    <col min="6" max="7" width="10.140625" bestFit="1" customWidth="1"/>
    <col min="8" max="9" width="11.140625" bestFit="1" customWidth="1"/>
    <col min="10" max="10" width="12.140625" bestFit="1" customWidth="1"/>
  </cols>
  <sheetData>
    <row r="1" spans="1:10" x14ac:dyDescent="0.25">
      <c r="A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E2">
        <v>15</v>
      </c>
      <c r="F2" s="1">
        <v>6000</v>
      </c>
      <c r="G2" s="1">
        <v>6000</v>
      </c>
      <c r="H2" s="1">
        <f>+E2*F2</f>
        <v>90000</v>
      </c>
      <c r="I2" s="1">
        <f>+G2*E2</f>
        <v>90000</v>
      </c>
      <c r="J2" s="1">
        <f>+I2+H2</f>
        <v>180000</v>
      </c>
    </row>
    <row r="3" spans="1:10" x14ac:dyDescent="0.25">
      <c r="A3" t="s">
        <v>12</v>
      </c>
      <c r="E3">
        <v>10</v>
      </c>
      <c r="F3" s="1">
        <v>4000</v>
      </c>
      <c r="G3" s="1">
        <v>5000</v>
      </c>
      <c r="H3" s="1">
        <f>+E3*F3</f>
        <v>40000</v>
      </c>
      <c r="I3" s="1">
        <f>+G3*E3</f>
        <v>50000</v>
      </c>
      <c r="J3" s="1">
        <f>+I3+H3</f>
        <v>90000</v>
      </c>
    </row>
    <row r="4" spans="1:10" x14ac:dyDescent="0.25">
      <c r="F4" s="1"/>
      <c r="G4" s="1"/>
      <c r="H4" s="1"/>
      <c r="I4" s="1"/>
      <c r="J4" s="1"/>
    </row>
    <row r="5" spans="1:10" x14ac:dyDescent="0.25">
      <c r="F5" s="1"/>
      <c r="G5" s="1"/>
      <c r="H5" s="1"/>
      <c r="I5" s="1" t="s">
        <v>13</v>
      </c>
      <c r="J5" s="1">
        <f>+J3+J2</f>
        <v>270000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2" sqref="F2:J5"/>
    </sheetView>
  </sheetViews>
  <sheetFormatPr defaultRowHeight="15" x14ac:dyDescent="0.25"/>
  <cols>
    <col min="8" max="8" width="10.28515625" bestFit="1" customWidth="1"/>
    <col min="10" max="10" width="9.5703125" bestFit="1" customWidth="1"/>
  </cols>
  <sheetData>
    <row r="1" spans="1:10" x14ac:dyDescent="0.25">
      <c r="A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14</v>
      </c>
      <c r="E2">
        <v>12</v>
      </c>
      <c r="F2" s="1">
        <v>10000</v>
      </c>
      <c r="G2" s="1">
        <v>6000</v>
      </c>
      <c r="H2" s="1">
        <f>+E2*F2</f>
        <v>120000</v>
      </c>
      <c r="I2" s="1">
        <f>+G2*E2</f>
        <v>72000</v>
      </c>
      <c r="J2" s="1">
        <f>+I2+H2</f>
        <v>192000</v>
      </c>
    </row>
    <row r="3" spans="1:10" x14ac:dyDescent="0.25">
      <c r="A3" t="s">
        <v>15</v>
      </c>
      <c r="E3">
        <v>2</v>
      </c>
      <c r="F3" s="1">
        <v>20000</v>
      </c>
      <c r="G3" s="1">
        <v>20000</v>
      </c>
      <c r="H3" s="1">
        <f>+E3*F3</f>
        <v>40000</v>
      </c>
      <c r="I3" s="1">
        <f>+G3*E3</f>
        <v>40000</v>
      </c>
      <c r="J3" s="1">
        <f>+I3+H3</f>
        <v>80000</v>
      </c>
    </row>
    <row r="4" spans="1:10" x14ac:dyDescent="0.25">
      <c r="F4" s="1"/>
      <c r="G4" s="1"/>
      <c r="H4" s="1"/>
      <c r="I4" s="1"/>
      <c r="J4" s="1"/>
    </row>
    <row r="5" spans="1:10" x14ac:dyDescent="0.25">
      <c r="F5" s="1"/>
      <c r="G5" s="1"/>
      <c r="H5" s="1"/>
      <c r="I5" s="1" t="s">
        <v>13</v>
      </c>
      <c r="J5" s="1">
        <f>+J3+J2</f>
        <v>272000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G9" sqref="G9"/>
    </sheetView>
  </sheetViews>
  <sheetFormatPr defaultRowHeight="15" x14ac:dyDescent="0.25"/>
  <cols>
    <col min="9" max="9" width="11.140625" bestFit="1" customWidth="1"/>
    <col min="10" max="10" width="9.5703125" bestFit="1" customWidth="1"/>
  </cols>
  <sheetData>
    <row r="1" spans="1:10" x14ac:dyDescent="0.25">
      <c r="A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16</v>
      </c>
      <c r="E2">
        <v>90</v>
      </c>
      <c r="F2" s="1">
        <v>500</v>
      </c>
      <c r="G2" s="1">
        <v>1500</v>
      </c>
      <c r="H2" s="1">
        <f>+E2*F2</f>
        <v>45000</v>
      </c>
      <c r="I2" s="1">
        <f>+G2*E2</f>
        <v>135000</v>
      </c>
      <c r="J2" s="1">
        <f>+I2+H2</f>
        <v>180000</v>
      </c>
    </row>
    <row r="3" spans="1:10" x14ac:dyDescent="0.25">
      <c r="F3" s="1"/>
      <c r="G3" s="1"/>
      <c r="H3" s="1"/>
      <c r="I3" s="1"/>
      <c r="J3" s="1"/>
    </row>
    <row r="4" spans="1:10" x14ac:dyDescent="0.25">
      <c r="F4" s="1"/>
      <c r="G4" s="1"/>
      <c r="H4" s="1"/>
      <c r="I4" s="1"/>
      <c r="J4" s="1"/>
    </row>
    <row r="5" spans="1:10" x14ac:dyDescent="0.25">
      <c r="F5" s="1"/>
      <c r="G5" s="1"/>
      <c r="H5" s="1"/>
      <c r="I5" s="1" t="s">
        <v>13</v>
      </c>
      <c r="J5" s="1">
        <f>+J3+J2</f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Összesítés</vt:lpstr>
      <vt:lpstr>Gipszkartonozás</vt:lpstr>
      <vt:lpstr>Burkolás</vt:lpstr>
      <vt:lpstr>Festés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2026-03-15T10:16:05Z</dcterms:modified>
</cp:coreProperties>
</file>